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AWS Cost Optimization\spreadsheet\"/>
    </mc:Choice>
  </mc:AlternateContent>
  <xr:revisionPtr revIDLastSave="0" documentId="13_ncr:1_{2EAB01DA-FD4E-4837-B49C-924977EA3001}" xr6:coauthVersionLast="47" xr6:coauthVersionMax="47" xr10:uidLastSave="{00000000-0000-0000-0000-000000000000}"/>
  <bookViews>
    <workbookView xWindow="11385" yWindow="375" windowWidth="20340" windowHeight="15750" xr2:uid="{00000000-000D-0000-FFFF-FFFF00000000}"/>
  </bookViews>
  <sheets>
    <sheet name="01_Current_Costs" sheetId="1" r:id="rId1"/>
    <sheet name="02_Optimization_Model" sheetId="2" r:id="rId2"/>
    <sheet name="03_Assumptions" sheetId="3" r:id="rId3"/>
    <sheet name="04_Formula_Logi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B10" i="2" s="1"/>
  <c r="B8" i="2"/>
  <c r="E7" i="2"/>
  <c r="D7" i="2" s="1"/>
  <c r="E6" i="2"/>
  <c r="D6" i="2" s="1"/>
  <c r="E5" i="2"/>
  <c r="D5" i="2" s="1"/>
  <c r="E4" i="2"/>
  <c r="D4" i="2" s="1"/>
  <c r="E3" i="2"/>
  <c r="D3" i="2" s="1"/>
  <c r="E2" i="2"/>
  <c r="D2" i="2" s="1"/>
  <c r="D8" i="2" s="1"/>
  <c r="C8" i="1"/>
  <c r="B8" i="1"/>
  <c r="C7" i="1" l="1"/>
  <c r="C2" i="1"/>
  <c r="C6" i="1"/>
  <c r="C5" i="1"/>
  <c r="C4" i="1"/>
  <c r="C3" i="1"/>
</calcChain>
</file>

<file path=xl/sharedStrings.xml><?xml version="1.0" encoding="utf-8"?>
<sst xmlns="http://schemas.openxmlformats.org/spreadsheetml/2006/main" count="113" uniqueCount="90">
  <si>
    <t>Service</t>
  </si>
  <si>
    <t>Monthly Cost ($)</t>
  </si>
  <si>
    <t>% of Total</t>
  </si>
  <si>
    <t>Notes</t>
  </si>
  <si>
    <t>EC2</t>
  </si>
  <si>
    <t>Overprovisioned</t>
  </si>
  <si>
    <t>EBS</t>
  </si>
  <si>
    <t>Unattached volumes</t>
  </si>
  <si>
    <t>RDS</t>
  </si>
  <si>
    <t>Stable</t>
  </si>
  <si>
    <t>S3</t>
  </si>
  <si>
    <t>No lifecycle</t>
  </si>
  <si>
    <t>EKS</t>
  </si>
  <si>
    <t>Fixed nodes</t>
  </si>
  <si>
    <t>Lambda</t>
  </si>
  <si>
    <t>Low concern</t>
  </si>
  <si>
    <t>TOTAL</t>
  </si>
  <si>
    <t>EC2 Detail</t>
  </si>
  <si>
    <t>Metric</t>
  </si>
  <si>
    <t>Value</t>
  </si>
  <si>
    <t>Total Instances</t>
  </si>
  <si>
    <t>% c5.xlarge</t>
  </si>
  <si>
    <t>Avg CPU Utilization</t>
  </si>
  <si>
    <t>Current Cost</t>
  </si>
  <si>
    <t>Reduction %</t>
  </si>
  <si>
    <t>Optimized Cost</t>
  </si>
  <si>
    <t>Monthly Savings</t>
  </si>
  <si>
    <t>Area</t>
  </si>
  <si>
    <t>Assumption</t>
  </si>
  <si>
    <t>Reason</t>
  </si>
  <si>
    <t>35% reduction</t>
  </si>
  <si>
    <t>CPU at 30% indicates overprovisioning</t>
  </si>
  <si>
    <t>30% reduction</t>
  </si>
  <si>
    <t>No autoscaling</t>
  </si>
  <si>
    <t>Unattached volumes + snapshots</t>
  </si>
  <si>
    <t>40% reduction</t>
  </si>
  <si>
    <t>80% in Standard storage</t>
  </si>
  <si>
    <t>Optimization Levers</t>
  </si>
  <si>
    <t>Lever</t>
  </si>
  <si>
    <t>Applies To</t>
  </si>
  <si>
    <t>Rightsizing</t>
  </si>
  <si>
    <t>EC2, EKS</t>
  </si>
  <si>
    <t>Autoscaling</t>
  </si>
  <si>
    <t>Storage Tiering</t>
  </si>
  <si>
    <t>Cleanup</t>
  </si>
  <si>
    <t>Savings Plans</t>
  </si>
  <si>
    <t>Total Savings %</t>
  </si>
  <si>
    <t>Executive Model Note:</t>
  </si>
  <si>
    <t>This model presents the primary validated savings estimate used in the executive report. RDS and Lambda are treated as future optimization opportunities and are not included in the $70,000 monthly savings estimate. This keeps the recommendation conservative and aligned with the technical assessment deliverables.</t>
  </si>
  <si>
    <t>0% reduction</t>
  </si>
  <si>
    <t>Future opportunity; reserved capacity and storage optimization require workload validation</t>
  </si>
  <si>
    <t>Future opportunity; memory and duration tuning after observability review</t>
  </si>
  <si>
    <t>Formula / Assumption</t>
  </si>
  <si>
    <t>Result / Explanation</t>
  </si>
  <si>
    <t>Total AWS Monthly Spend</t>
  </si>
  <si>
    <t>User-provided baseline</t>
  </si>
  <si>
    <t>EC2 Current Cost</t>
  </si>
  <si>
    <t>$250,000 × 40%</t>
  </si>
  <si>
    <t>EBS Current Cost</t>
  </si>
  <si>
    <t>$250,000 × 20%</t>
  </si>
  <si>
    <t>RDS Current Cost</t>
  </si>
  <si>
    <t>$250,000 × 15%</t>
  </si>
  <si>
    <t>S3 Current Cost</t>
  </si>
  <si>
    <t>$250,000 × 10%</t>
  </si>
  <si>
    <t>EKS Current Cost</t>
  </si>
  <si>
    <t>Lambda Current Cost</t>
  </si>
  <si>
    <t>$250,000 × 5%</t>
  </si>
  <si>
    <t>EC2 Optimization</t>
  </si>
  <si>
    <t>$100,000 × 35%</t>
  </si>
  <si>
    <t>$35,000 savings</t>
  </si>
  <si>
    <t>EBS Optimization</t>
  </si>
  <si>
    <t>$50,000 × 35%</t>
  </si>
  <si>
    <t>$17,500 savings</t>
  </si>
  <si>
    <t>RDS Optimization</t>
  </si>
  <si>
    <t>$37,500 × 0%</t>
  </si>
  <si>
    <t>No savings applied in executive model; future opportunity</t>
  </si>
  <si>
    <t>S3 Optimization</t>
  </si>
  <si>
    <t>$25,000 × 40%</t>
  </si>
  <si>
    <t>$10,000 savings</t>
  </si>
  <si>
    <t>EKS Optimization</t>
  </si>
  <si>
    <t>$25,000 × 30%</t>
  </si>
  <si>
    <t>$7,500 savings</t>
  </si>
  <si>
    <t>Lambda Optimization</t>
  </si>
  <si>
    <t>$12,500 × 0%</t>
  </si>
  <si>
    <t>Total Estimated Savings</t>
  </si>
  <si>
    <t>SUM(EC2, EBS, S3, EKS savings)</t>
  </si>
  <si>
    <t>Optimized Monthly Spend</t>
  </si>
  <si>
    <t>$250,000 - $70,000</t>
  </si>
  <si>
    <t>Savings Percentage</t>
  </si>
  <si>
    <t>$70,000 / $250,000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</si>
</sst>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9" x14ac:knownFonts="1">
    <font>
      <sz val="11"/>
      <color theme="1"/>
      <name val="Calibri"/>
    </font>
    <font>
      <b/>
      <sz val="11"/>
      <name val="Calibri"/>
    </font>
    <font>
      <b/>
      <sz val="11"/>
      <color theme="1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2"/>
      <color rgb="FF1F4E79"/>
      <name val="Calibri"/>
    </font>
    <font>
      <b/>
      <sz val="11"/>
      <color rgb="FF548235"/>
      <name val="Calibri"/>
    </font>
    <font>
      <b/>
      <sz val="12"/>
      <color rgb="FF548235"/>
      <name val="Calibri"/>
    </font>
    <font>
      <b/>
      <sz val="11"/>
      <color rgb="FF1F2937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6DCE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D6E3F8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F3F4F6"/>
      </patternFill>
    </fill>
    <fill>
      <patternFill patternType="solid">
        <fgColor rgb="FFFFF7ED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/>
      <diagonal/>
    </border>
    <border>
      <left style="thin">
        <color auto="1"/>
      </left>
      <right style="thin">
        <color auto="1"/>
      </right>
      <top style="double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1F4E7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1F4E79"/>
      </left>
      <right style="thin">
        <color auto="1"/>
      </right>
      <top style="thin">
        <color rgb="FFD9D9D9"/>
      </top>
      <bottom/>
      <diagonal/>
    </border>
    <border>
      <left style="thin">
        <color rgb="FF1F4E79"/>
      </left>
      <right style="thin">
        <color auto="1"/>
      </right>
      <top style="double">
        <color rgb="FF1F4E79"/>
      </top>
      <bottom style="thin">
        <color rgb="FF1F4E79"/>
      </bottom>
      <diagonal/>
    </border>
    <border>
      <left style="thin">
        <color auto="1"/>
      </left>
      <right style="thin">
        <color rgb="FF1F4E7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1F4E7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1F4E79"/>
      </right>
      <top style="thin">
        <color rgb="FFD9D9D9"/>
      </top>
      <bottom/>
      <diagonal/>
    </border>
    <border>
      <left style="thin">
        <color auto="1"/>
      </left>
      <right style="thin">
        <color rgb="FF1F4E79"/>
      </right>
      <top style="double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auto="1"/>
      </right>
      <top style="thin">
        <color rgb="FF1F4E79"/>
      </top>
      <bottom/>
      <diagonal/>
    </border>
    <border>
      <left style="thin">
        <color auto="1"/>
      </left>
      <right style="thin">
        <color auto="1"/>
      </right>
      <top style="thin">
        <color rgb="FF1F4E79"/>
      </top>
      <bottom/>
      <diagonal/>
    </border>
    <border>
      <left style="thin">
        <color auto="1"/>
      </left>
      <right style="thin">
        <color rgb="FF1F4E79"/>
      </right>
      <top style="thin">
        <color rgb="FF1F4E79"/>
      </top>
      <bottom/>
      <diagonal/>
    </border>
    <border>
      <left style="thin">
        <color rgb="FF2E75B6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2E75B6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2E75B6"/>
      </right>
      <top style="thin">
        <color rgb="FFD9D9D9"/>
      </top>
      <bottom style="thin">
        <color rgb="FFD9D9D9"/>
      </bottom>
      <diagonal/>
    </border>
    <border>
      <left style="thin">
        <color rgb="FF2E75B6"/>
      </left>
      <right style="thin">
        <color auto="1"/>
      </right>
      <top style="thin">
        <color rgb="FF2E75B6"/>
      </top>
      <bottom/>
      <diagonal/>
    </border>
    <border>
      <left style="thin">
        <color auto="1"/>
      </left>
      <right style="thin">
        <color rgb="FF2E75B6"/>
      </right>
      <top style="thin">
        <color rgb="FF2E75B6"/>
      </top>
      <bottom/>
      <diagonal/>
    </border>
    <border>
      <left style="thin">
        <color rgb="FF2E75B6"/>
      </left>
      <right style="thin">
        <color rgb="FFD9D9D9"/>
      </right>
      <top style="thin">
        <color rgb="FFD9D9D9"/>
      </top>
      <bottom style="thin">
        <color rgb="FF2E75B6"/>
      </bottom>
      <diagonal/>
    </border>
    <border>
      <left style="thin">
        <color rgb="FFD9D9D9"/>
      </left>
      <right style="thin">
        <color rgb="FF2E75B6"/>
      </right>
      <top style="thin">
        <color rgb="FFD9D9D9"/>
      </top>
      <bottom style="thin">
        <color rgb="FF2E75B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3" borderId="5" xfId="0" applyFill="1" applyBorder="1"/>
    <xf numFmtId="0" fontId="0" fillId="0" borderId="6" xfId="0" applyBorder="1"/>
    <xf numFmtId="0" fontId="0" fillId="3" borderId="6" xfId="0" applyFill="1" applyBorder="1"/>
    <xf numFmtId="0" fontId="0" fillId="0" borderId="7" xfId="0" applyBorder="1"/>
    <xf numFmtId="0" fontId="1" fillId="4" borderId="8" xfId="0" applyFont="1" applyFill="1" applyBorder="1"/>
    <xf numFmtId="0" fontId="0" fillId="3" borderId="9" xfId="0" applyFill="1" applyBorder="1"/>
    <xf numFmtId="0" fontId="0" fillId="0" borderId="10" xfId="0" applyBorder="1"/>
    <xf numFmtId="0" fontId="0" fillId="3" borderId="10" xfId="0" applyFill="1" applyBorder="1"/>
    <xf numFmtId="0" fontId="0" fillId="0" borderId="11" xfId="0" applyBorder="1"/>
    <xf numFmtId="0" fontId="2" fillId="4" borderId="12" xfId="0" applyFont="1" applyFill="1" applyBorder="1"/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5" fillId="0" borderId="0" xfId="0" applyFont="1"/>
    <xf numFmtId="0" fontId="0" fillId="0" borderId="16" xfId="0" applyBorder="1"/>
    <xf numFmtId="0" fontId="0" fillId="0" borderId="17" xfId="0" applyBorder="1"/>
    <xf numFmtId="0" fontId="3" fillId="5" borderId="2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0" fillId="0" borderId="22" xfId="0" applyBorder="1"/>
    <xf numFmtId="164" fontId="0" fillId="3" borderId="1" xfId="0" applyNumberFormat="1" applyFill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3" borderId="2" xfId="0" applyNumberFormat="1" applyFill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4" fontId="1" fillId="4" borderId="4" xfId="0" applyNumberFormat="1" applyFont="1" applyFill="1" applyBorder="1" applyAlignment="1">
      <alignment horizontal="right"/>
    </xf>
    <xf numFmtId="9" fontId="0" fillId="3" borderId="1" xfId="0" applyNumberFormat="1" applyFill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3" borderId="2" xfId="0" applyNumberForma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1" fillId="4" borderId="4" xfId="0" applyNumberFormat="1" applyFont="1" applyFill="1" applyBorder="1" applyAlignment="1">
      <alignment horizontal="center"/>
    </xf>
    <xf numFmtId="0" fontId="0" fillId="0" borderId="18" xfId="0" applyBorder="1" applyAlignment="1">
      <alignment horizontal="right"/>
    </xf>
    <xf numFmtId="9" fontId="0" fillId="0" borderId="19" xfId="0" applyNumberFormat="1" applyBorder="1" applyAlignment="1">
      <alignment horizontal="right"/>
    </xf>
    <xf numFmtId="9" fontId="0" fillId="0" borderId="23" xfId="0" applyNumberFormat="1" applyBorder="1" applyAlignment="1">
      <alignment horizontal="right"/>
    </xf>
    <xf numFmtId="0" fontId="8" fillId="9" borderId="24" xfId="0" applyFont="1" applyFill="1" applyBorder="1" applyAlignment="1">
      <alignment horizontal="center"/>
    </xf>
    <xf numFmtId="0" fontId="0" fillId="3" borderId="24" xfId="0" applyFill="1" applyBorder="1"/>
    <xf numFmtId="164" fontId="0" fillId="3" borderId="24" xfId="0" applyNumberFormat="1" applyFill="1" applyBorder="1" applyAlignment="1">
      <alignment horizontal="right"/>
    </xf>
    <xf numFmtId="9" fontId="0" fillId="3" borderId="24" xfId="0" applyNumberFormat="1" applyFill="1" applyBorder="1" applyAlignment="1">
      <alignment horizontal="center"/>
    </xf>
    <xf numFmtId="164" fontId="6" fillId="6" borderId="24" xfId="0" applyNumberFormat="1" applyFont="1" applyFill="1" applyBorder="1" applyAlignment="1">
      <alignment horizontal="right"/>
    </xf>
    <xf numFmtId="0" fontId="0" fillId="0" borderId="24" xfId="0" applyBorder="1"/>
    <xf numFmtId="164" fontId="0" fillId="0" borderId="24" xfId="0" applyNumberFormat="1" applyBorder="1" applyAlignment="1">
      <alignment horizontal="right"/>
    </xf>
    <xf numFmtId="9" fontId="0" fillId="0" borderId="24" xfId="0" applyNumberFormat="1" applyBorder="1" applyAlignment="1">
      <alignment horizontal="center"/>
    </xf>
    <xf numFmtId="0" fontId="1" fillId="10" borderId="24" xfId="0" applyFont="1" applyFill="1" applyBorder="1"/>
    <xf numFmtId="164" fontId="1" fillId="10" borderId="24" xfId="0" applyNumberFormat="1" applyFont="1" applyFill="1" applyBorder="1" applyAlignment="1">
      <alignment horizontal="right"/>
    </xf>
    <xf numFmtId="164" fontId="3" fillId="10" borderId="24" xfId="0" applyNumberFormat="1" applyFont="1" applyFill="1" applyBorder="1" applyAlignment="1">
      <alignment horizontal="right"/>
    </xf>
    <xf numFmtId="9" fontId="2" fillId="10" borderId="24" xfId="0" applyNumberFormat="1" applyFont="1" applyFill="1" applyBorder="1" applyAlignment="1">
      <alignment horizontal="center"/>
    </xf>
    <xf numFmtId="0" fontId="5" fillId="10" borderId="0" xfId="0" applyFont="1" applyFill="1"/>
    <xf numFmtId="9" fontId="7" fillId="10" borderId="0" xfId="0" applyNumberFormat="1" applyFont="1" applyFill="1"/>
    <xf numFmtId="0" fontId="0" fillId="3" borderId="24" xfId="0" applyFill="1" applyBorder="1" applyAlignment="1">
      <alignment wrapText="1"/>
    </xf>
    <xf numFmtId="0" fontId="0" fillId="3" borderId="24" xfId="0" applyFill="1" applyBorder="1" applyAlignment="1">
      <alignment horizontal="center" wrapText="1"/>
    </xf>
    <xf numFmtId="0" fontId="0" fillId="0" borderId="24" xfId="0" applyBorder="1" applyAlignment="1">
      <alignment wrapText="1"/>
    </xf>
    <xf numFmtId="0" fontId="0" fillId="0" borderId="24" xfId="0" applyBorder="1" applyAlignment="1">
      <alignment horizontal="center" wrapText="1"/>
    </xf>
    <xf numFmtId="0" fontId="5" fillId="0" borderId="24" xfId="0" applyFont="1" applyBorder="1" applyAlignment="1">
      <alignment wrapText="1"/>
    </xf>
    <xf numFmtId="0" fontId="3" fillId="5" borderId="24" xfId="0" applyFont="1" applyFill="1" applyBorder="1" applyAlignment="1">
      <alignment horizontal="center" wrapText="1"/>
    </xf>
    <xf numFmtId="0" fontId="0" fillId="3" borderId="24" xfId="0" applyFill="1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8" fillId="9" borderId="24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left" vertical="center" wrapText="1"/>
    </xf>
    <xf numFmtId="0" fontId="0" fillId="7" borderId="24" xfId="0" applyFill="1" applyBorder="1" applyAlignment="1">
      <alignment horizontal="center" vertical="center" wrapText="1"/>
    </xf>
    <xf numFmtId="6" fontId="0" fillId="7" borderId="24" xfId="0" applyNumberForma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0" fillId="8" borderId="24" xfId="0" applyFill="1" applyBorder="1" applyAlignment="1">
      <alignment horizontal="center" vertical="center" wrapText="1"/>
    </xf>
    <xf numFmtId="6" fontId="0" fillId="8" borderId="24" xfId="0" applyNumberFormat="1" applyFill="1" applyBorder="1" applyAlignment="1">
      <alignment horizontal="left" vertical="center" wrapText="1"/>
    </xf>
    <xf numFmtId="0" fontId="0" fillId="8" borderId="24" xfId="0" applyFill="1" applyBorder="1" applyAlignment="1">
      <alignment horizontal="left" vertical="center" wrapText="1"/>
    </xf>
    <xf numFmtId="0" fontId="0" fillId="7" borderId="24" xfId="0" applyFill="1" applyBorder="1" applyAlignment="1">
      <alignment horizontal="left" vertical="center" wrapText="1"/>
    </xf>
    <xf numFmtId="0" fontId="4" fillId="5" borderId="24" xfId="0" applyFont="1" applyFill="1" applyBorder="1" applyAlignment="1">
      <alignment horizontal="left" vertical="center" wrapText="1"/>
    </xf>
    <xf numFmtId="0" fontId="4" fillId="5" borderId="24" xfId="0" applyFont="1" applyFill="1" applyBorder="1" applyAlignment="1">
      <alignment horizontal="center" vertical="center" wrapText="1"/>
    </xf>
    <xf numFmtId="6" fontId="4" fillId="5" borderId="24" xfId="0" applyNumberFormat="1" applyFont="1" applyFill="1" applyBorder="1" applyAlignment="1">
      <alignment horizontal="left" vertical="center" wrapText="1"/>
    </xf>
    <xf numFmtId="9" fontId="4" fillId="5" borderId="24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11" borderId="0" xfId="0" applyFont="1" applyFill="1" applyAlignment="1">
      <alignment vertical="center" wrapText="1"/>
    </xf>
    <xf numFmtId="0" fontId="0" fillId="11" borderId="0" xfId="0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C65911"/>
      </font>
      <fill>
        <patternFill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Current vs Optimized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'02_Optimization_Model'!$B$1</c:f>
              <c:strCache>
                <c:ptCount val="1"/>
                <c:pt idx="0">
                  <c:v>Current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'02_Optimization_Model'!$A$2:$A$7</c:f>
              <c:strCache>
                <c:ptCount val="6"/>
                <c:pt idx="0">
                  <c:v>EC2</c:v>
                </c:pt>
                <c:pt idx="1">
                  <c:v>EKS</c:v>
                </c:pt>
                <c:pt idx="2">
                  <c:v>EBS</c:v>
                </c:pt>
                <c:pt idx="3">
                  <c:v>S3</c:v>
                </c:pt>
                <c:pt idx="4">
                  <c:v>RDS</c:v>
                </c:pt>
                <c:pt idx="5">
                  <c:v>Lambda</c:v>
                </c:pt>
              </c:strCache>
            </c:strRef>
          </c:cat>
          <c:val>
            <c:numRef>
              <c:f>'02_Optimization_Model'!$B$2:$B$7</c:f>
              <c:numCache>
                <c:formatCode>"$"#,##0</c:formatCode>
                <c:ptCount val="6"/>
                <c:pt idx="0">
                  <c:v>100000</c:v>
                </c:pt>
                <c:pt idx="1">
                  <c:v>25000</c:v>
                </c:pt>
                <c:pt idx="2">
                  <c:v>50000</c:v>
                </c:pt>
                <c:pt idx="3">
                  <c:v>25000</c:v>
                </c:pt>
                <c:pt idx="4">
                  <c:v>37500</c:v>
                </c:pt>
                <c:pt idx="5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3-4673-83AF-A03191A758F9}"/>
            </c:ext>
          </c:extLst>
        </c:ser>
        <c:ser>
          <c:idx val="1"/>
          <c:order val="1"/>
          <c:tx>
            <c:strRef>
              <c:f>'02_Optimization_Model'!$C$1</c:f>
              <c:strCache>
                <c:ptCount val="1"/>
                <c:pt idx="0">
                  <c:v>Reduction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'02_Optimization_Model'!$A$2:$A$7</c:f>
              <c:strCache>
                <c:ptCount val="6"/>
                <c:pt idx="0">
                  <c:v>EC2</c:v>
                </c:pt>
                <c:pt idx="1">
                  <c:v>EKS</c:v>
                </c:pt>
                <c:pt idx="2">
                  <c:v>EBS</c:v>
                </c:pt>
                <c:pt idx="3">
                  <c:v>S3</c:v>
                </c:pt>
                <c:pt idx="4">
                  <c:v>RDS</c:v>
                </c:pt>
                <c:pt idx="5">
                  <c:v>Lambda</c:v>
                </c:pt>
              </c:strCache>
            </c:strRef>
          </c:cat>
          <c:val>
            <c:numRef>
              <c:f>'02_Optimization_Model'!$C$2:$C$7</c:f>
              <c:numCache>
                <c:formatCode>0%</c:formatCode>
                <c:ptCount val="6"/>
                <c:pt idx="0">
                  <c:v>0.35</c:v>
                </c:pt>
                <c:pt idx="1">
                  <c:v>0.3</c:v>
                </c:pt>
                <c:pt idx="2">
                  <c:v>0.35</c:v>
                </c:pt>
                <c:pt idx="3">
                  <c:v>0.4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F3-4673-83AF-A03191A758F9}"/>
            </c:ext>
          </c:extLst>
        </c:ser>
        <c:ser>
          <c:idx val="2"/>
          <c:order val="2"/>
          <c:tx>
            <c:strRef>
              <c:f>'02_Optimization_Model'!$D$1</c:f>
              <c:strCache>
                <c:ptCount val="1"/>
                <c:pt idx="0">
                  <c:v>Optimized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'02_Optimization_Model'!$A$2:$A$7</c:f>
              <c:strCache>
                <c:ptCount val="6"/>
                <c:pt idx="0">
                  <c:v>EC2</c:v>
                </c:pt>
                <c:pt idx="1">
                  <c:v>EKS</c:v>
                </c:pt>
                <c:pt idx="2">
                  <c:v>EBS</c:v>
                </c:pt>
                <c:pt idx="3">
                  <c:v>S3</c:v>
                </c:pt>
                <c:pt idx="4">
                  <c:v>RDS</c:v>
                </c:pt>
                <c:pt idx="5">
                  <c:v>Lambda</c:v>
                </c:pt>
              </c:strCache>
            </c:strRef>
          </c:cat>
          <c:val>
            <c:numRef>
              <c:f>'02_Optimization_Model'!$D$2:$D$7</c:f>
              <c:numCache>
                <c:formatCode>"$"#,##0</c:formatCode>
                <c:ptCount val="6"/>
                <c:pt idx="0">
                  <c:v>65000</c:v>
                </c:pt>
                <c:pt idx="1">
                  <c:v>17500</c:v>
                </c:pt>
                <c:pt idx="2">
                  <c:v>32500</c:v>
                </c:pt>
                <c:pt idx="3">
                  <c:v>15000</c:v>
                </c:pt>
                <c:pt idx="4">
                  <c:v>37500</c:v>
                </c:pt>
                <c:pt idx="5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F3-4673-83AF-A03191A758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r>
                  <a:rPr lang="en-US"/>
                  <a:t>Service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/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r>
                  <a:rPr lang="en-US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/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12</xdr:row>
      <xdr:rowOff>104774</xdr:rowOff>
    </xdr:from>
    <xdr:ext cx="7620000" cy="4800601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D14"/>
  <sheetViews>
    <sheetView tabSelected="1" workbookViewId="0"/>
  </sheetViews>
  <sheetFormatPr baseColWidth="10" defaultColWidth="9.140625" defaultRowHeight="15" x14ac:dyDescent="0.25"/>
  <cols>
    <col min="1" max="1" width="22.85546875" customWidth="1"/>
    <col min="2" max="2" width="19" customWidth="1"/>
    <col min="3" max="3" width="15.28515625" customWidth="1"/>
    <col min="4" max="4" width="24.7109375" customWidth="1"/>
  </cols>
  <sheetData>
    <row r="1" spans="1:4" ht="24.95" customHeight="1" x14ac:dyDescent="0.25">
      <c r="A1" s="11" t="s">
        <v>0</v>
      </c>
      <c r="B1" s="12" t="s">
        <v>1</v>
      </c>
      <c r="C1" s="12" t="s">
        <v>2</v>
      </c>
      <c r="D1" s="13" t="s">
        <v>3</v>
      </c>
    </row>
    <row r="2" spans="1:4" x14ac:dyDescent="0.25">
      <c r="A2" s="1" t="s">
        <v>4</v>
      </c>
      <c r="B2" s="20">
        <v>100000</v>
      </c>
      <c r="C2" s="25">
        <f t="shared" ref="C2:C7" si="0">B2/$B$8</f>
        <v>0.4</v>
      </c>
      <c r="D2" s="6" t="s">
        <v>5</v>
      </c>
    </row>
    <row r="3" spans="1:4" x14ac:dyDescent="0.25">
      <c r="A3" s="2" t="s">
        <v>6</v>
      </c>
      <c r="B3" s="21">
        <v>50000</v>
      </c>
      <c r="C3" s="26">
        <f t="shared" si="0"/>
        <v>0.2</v>
      </c>
      <c r="D3" s="7" t="s">
        <v>7</v>
      </c>
    </row>
    <row r="4" spans="1:4" x14ac:dyDescent="0.25">
      <c r="A4" s="3" t="s">
        <v>8</v>
      </c>
      <c r="B4" s="22">
        <v>37500</v>
      </c>
      <c r="C4" s="27">
        <f t="shared" si="0"/>
        <v>0.15</v>
      </c>
      <c r="D4" s="8" t="s">
        <v>9</v>
      </c>
    </row>
    <row r="5" spans="1:4" x14ac:dyDescent="0.25">
      <c r="A5" s="2" t="s">
        <v>10</v>
      </c>
      <c r="B5" s="21">
        <v>25000</v>
      </c>
      <c r="C5" s="26">
        <f t="shared" si="0"/>
        <v>0.1</v>
      </c>
      <c r="D5" s="7" t="s">
        <v>11</v>
      </c>
    </row>
    <row r="6" spans="1:4" x14ac:dyDescent="0.25">
      <c r="A6" s="3" t="s">
        <v>12</v>
      </c>
      <c r="B6" s="22">
        <v>25000</v>
      </c>
      <c r="C6" s="27">
        <f t="shared" si="0"/>
        <v>0.1</v>
      </c>
      <c r="D6" s="8" t="s">
        <v>13</v>
      </c>
    </row>
    <row r="7" spans="1:4" x14ac:dyDescent="0.25">
      <c r="A7" s="4" t="s">
        <v>14</v>
      </c>
      <c r="B7" s="23">
        <v>12500</v>
      </c>
      <c r="C7" s="28">
        <f t="shared" si="0"/>
        <v>0.05</v>
      </c>
      <c r="D7" s="9" t="s">
        <v>15</v>
      </c>
    </row>
    <row r="8" spans="1:4" x14ac:dyDescent="0.25">
      <c r="A8" s="5" t="s">
        <v>16</v>
      </c>
      <c r="B8" s="24">
        <f>SUM(B2:B7)</f>
        <v>250000</v>
      </c>
      <c r="C8" s="29">
        <f>1</f>
        <v>1</v>
      </c>
      <c r="D8" s="10"/>
    </row>
    <row r="10" spans="1:4" ht="15.75" x14ac:dyDescent="0.25">
      <c r="A10" s="14" t="s">
        <v>17</v>
      </c>
    </row>
    <row r="11" spans="1:4" ht="15.75" x14ac:dyDescent="0.25">
      <c r="A11" s="17" t="s">
        <v>18</v>
      </c>
      <c r="B11" s="18" t="s">
        <v>19</v>
      </c>
    </row>
    <row r="12" spans="1:4" x14ac:dyDescent="0.25">
      <c r="A12" s="15" t="s">
        <v>20</v>
      </c>
      <c r="B12" s="30">
        <v>500</v>
      </c>
    </row>
    <row r="13" spans="1:4" x14ac:dyDescent="0.25">
      <c r="A13" s="16" t="s">
        <v>21</v>
      </c>
      <c r="B13" s="31">
        <v>0.6</v>
      </c>
    </row>
    <row r="14" spans="1:4" x14ac:dyDescent="0.25">
      <c r="A14" s="19" t="s">
        <v>22</v>
      </c>
      <c r="B14" s="32">
        <v>0.3</v>
      </c>
    </row>
  </sheetData>
  <conditionalFormatting sqref="D2:D7">
    <cfRule type="containsText" dxfId="0" priority="1" operator="containsText" text="Overprovisioned">
      <formula>NOT(ISERROR(SEARCH("Overprovisioned",D2)))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E12"/>
  <sheetViews>
    <sheetView topLeftCell="A9" workbookViewId="0">
      <selection activeCell="H15" sqref="H15"/>
    </sheetView>
  </sheetViews>
  <sheetFormatPr baseColWidth="10" defaultColWidth="9.140625" defaultRowHeight="15" x14ac:dyDescent="0.25"/>
  <cols>
    <col min="1" max="1" width="17.85546875" customWidth="1"/>
    <col min="2" max="5" width="19.28515625" customWidth="1"/>
  </cols>
  <sheetData>
    <row r="1" spans="1:5" ht="24.95" customHeight="1" x14ac:dyDescent="0.25">
      <c r="A1" s="33" t="s">
        <v>0</v>
      </c>
      <c r="B1" s="33" t="s">
        <v>23</v>
      </c>
      <c r="C1" s="33" t="s">
        <v>24</v>
      </c>
      <c r="D1" s="33" t="s">
        <v>25</v>
      </c>
      <c r="E1" s="33" t="s">
        <v>26</v>
      </c>
    </row>
    <row r="2" spans="1:5" x14ac:dyDescent="0.25">
      <c r="A2" s="34" t="s">
        <v>4</v>
      </c>
      <c r="B2" s="35">
        <v>100000</v>
      </c>
      <c r="C2" s="36">
        <v>0.35</v>
      </c>
      <c r="D2" s="35">
        <f t="shared" ref="D2:D7" si="0">B2-E2</f>
        <v>65000</v>
      </c>
      <c r="E2" s="37">
        <f t="shared" ref="E2:E7" si="1">B2*C2</f>
        <v>35000</v>
      </c>
    </row>
    <row r="3" spans="1:5" x14ac:dyDescent="0.25">
      <c r="A3" s="38" t="s">
        <v>12</v>
      </c>
      <c r="B3" s="39">
        <v>25000</v>
      </c>
      <c r="C3" s="40">
        <v>0.3</v>
      </c>
      <c r="D3" s="39">
        <f t="shared" si="0"/>
        <v>17500</v>
      </c>
      <c r="E3" s="37">
        <f t="shared" si="1"/>
        <v>7500</v>
      </c>
    </row>
    <row r="4" spans="1:5" x14ac:dyDescent="0.25">
      <c r="A4" s="34" t="s">
        <v>6</v>
      </c>
      <c r="B4" s="35">
        <v>50000</v>
      </c>
      <c r="C4" s="36">
        <v>0.35</v>
      </c>
      <c r="D4" s="35">
        <f t="shared" si="0"/>
        <v>32500</v>
      </c>
      <c r="E4" s="37">
        <f t="shared" si="1"/>
        <v>17500</v>
      </c>
    </row>
    <row r="5" spans="1:5" x14ac:dyDescent="0.25">
      <c r="A5" s="38" t="s">
        <v>10</v>
      </c>
      <c r="B5" s="39">
        <v>25000</v>
      </c>
      <c r="C5" s="40">
        <v>0.4</v>
      </c>
      <c r="D5" s="39">
        <f t="shared" si="0"/>
        <v>15000</v>
      </c>
      <c r="E5" s="37">
        <f t="shared" si="1"/>
        <v>10000</v>
      </c>
    </row>
    <row r="6" spans="1:5" x14ac:dyDescent="0.25">
      <c r="A6" s="34" t="s">
        <v>8</v>
      </c>
      <c r="B6" s="35">
        <v>37500</v>
      </c>
      <c r="C6" s="36">
        <v>0</v>
      </c>
      <c r="D6" s="35">
        <f t="shared" si="0"/>
        <v>37500</v>
      </c>
      <c r="E6" s="37">
        <f t="shared" si="1"/>
        <v>0</v>
      </c>
    </row>
    <row r="7" spans="1:5" x14ac:dyDescent="0.25">
      <c r="A7" s="38" t="s">
        <v>14</v>
      </c>
      <c r="B7" s="39">
        <v>12500</v>
      </c>
      <c r="C7" s="40">
        <v>0</v>
      </c>
      <c r="D7" s="39">
        <f t="shared" si="0"/>
        <v>12500</v>
      </c>
      <c r="E7" s="37">
        <f t="shared" si="1"/>
        <v>0</v>
      </c>
    </row>
    <row r="8" spans="1:5" ht="15.75" x14ac:dyDescent="0.25">
      <c r="A8" s="41" t="s">
        <v>16</v>
      </c>
      <c r="B8" s="42">
        <f>SUM(B2:B7)</f>
        <v>250000</v>
      </c>
      <c r="C8" s="44"/>
      <c r="D8" s="42">
        <f>SUM(D2:D7)</f>
        <v>180000</v>
      </c>
      <c r="E8" s="43">
        <f>SUM(E2:E7)</f>
        <v>70000</v>
      </c>
    </row>
    <row r="10" spans="1:5" ht="15.75" x14ac:dyDescent="0.25">
      <c r="A10" s="45" t="s">
        <v>46</v>
      </c>
      <c r="B10" s="46">
        <f>E8/B8</f>
        <v>0.28000000000000003</v>
      </c>
    </row>
    <row r="12" spans="1:5" s="68" customFormat="1" ht="91.5" customHeight="1" x14ac:dyDescent="0.25">
      <c r="A12" s="69" t="s">
        <v>47</v>
      </c>
      <c r="B12" s="70" t="s">
        <v>48</v>
      </c>
      <c r="C12" s="70"/>
      <c r="D12" s="70"/>
      <c r="E12" s="70"/>
    </row>
  </sheetData>
  <mergeCells count="1">
    <mergeCell ref="B12:E12"/>
  </mergeCells>
  <conditionalFormatting sqref="C2:C7">
    <cfRule type="colorScale" priority="2">
      <colorScale>
        <cfvo type="min"/>
        <cfvo type="max"/>
        <color rgb="FFFF7128"/>
        <color rgb="FFFFEF9C"/>
      </colorScale>
    </cfRule>
    <cfRule type="colorScale" priority="3">
      <colorScale>
        <cfvo type="min"/>
        <cfvo type="max"/>
        <color rgb="FFFF7128"/>
        <color rgb="FFFFEF9C"/>
      </colorScale>
    </cfRule>
  </conditionalFormatting>
  <conditionalFormatting sqref="E2:E7">
    <cfRule type="dataBar" priority="1">
      <dataBar>
        <cfvo type="min"/>
        <cfvo type="max"/>
        <color rgb="FF63BE7B"/>
      </dataBar>
      <extLst>
        <ext xmlns:x14="http://schemas.microsoft.com/office/spreadsheetml/2009/9/main" uri="{B025F937-C7B1-47D3-B67F-A62EFF666E3E}">
          <x14:id>{4B81207E-6D84-4620-8A91-A74E08B3D4E1}</x14:id>
        </ext>
      </extLst>
    </cfRule>
    <cfRule type="dataBar" priority="4">
      <dataBar>
        <cfvo type="min"/>
        <cfvo type="max"/>
        <color rgb="FF63BE7B"/>
      </dataBar>
      <extLst>
        <ext xmlns:x14="http://schemas.microsoft.com/office/spreadsheetml/2009/9/main" uri="{B025F937-C7B1-47D3-B67F-A62EFF666E3E}">
          <x14:id>{4B81207E-6D84-4620-8A91-A74E08B3D4E1}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81207E-6D84-4620-8A91-A74E08B3D4E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B81207E-6D84-4620-8A91-A74E08B3D4E1}">
            <x14:dataBar minLength="0" maxLength="100" border="1" negativeBarColorSameAsPositive="1">
              <x14:cfvo type="min"/>
              <x14:cfvo type="max"/>
              <x14:borderColor rgb="FF548235"/>
              <x14:axisColor auto="1"/>
            </x14:dataBar>
          </x14:cfRule>
          <xm:sqref>E2:E7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C15"/>
  <sheetViews>
    <sheetView workbookViewId="0">
      <selection activeCell="C16" sqref="C16"/>
    </sheetView>
  </sheetViews>
  <sheetFormatPr baseColWidth="10" defaultColWidth="9.140625" defaultRowHeight="15" x14ac:dyDescent="0.25"/>
  <cols>
    <col min="1" max="1" width="16.42578125" customWidth="1"/>
    <col min="2" max="2" width="22.140625" customWidth="1"/>
    <col min="3" max="3" width="59.28515625" customWidth="1"/>
  </cols>
  <sheetData>
    <row r="1" spans="1:3" s="68" customFormat="1" ht="24.95" customHeight="1" x14ac:dyDescent="0.25">
      <c r="A1" s="55" t="s">
        <v>27</v>
      </c>
      <c r="B1" s="55" t="s">
        <v>28</v>
      </c>
      <c r="C1" s="55" t="s">
        <v>29</v>
      </c>
    </row>
    <row r="2" spans="1:3" x14ac:dyDescent="0.25">
      <c r="A2" s="47" t="s">
        <v>4</v>
      </c>
      <c r="B2" s="48" t="s">
        <v>30</v>
      </c>
      <c r="C2" s="47" t="s">
        <v>31</v>
      </c>
    </row>
    <row r="3" spans="1:3" x14ac:dyDescent="0.25">
      <c r="A3" s="49" t="s">
        <v>12</v>
      </c>
      <c r="B3" s="50" t="s">
        <v>32</v>
      </c>
      <c r="C3" s="49" t="s">
        <v>33</v>
      </c>
    </row>
    <row r="4" spans="1:3" x14ac:dyDescent="0.25">
      <c r="A4" s="47" t="s">
        <v>6</v>
      </c>
      <c r="B4" s="48" t="s">
        <v>30</v>
      </c>
      <c r="C4" s="47" t="s">
        <v>34</v>
      </c>
    </row>
    <row r="5" spans="1:3" x14ac:dyDescent="0.25">
      <c r="A5" s="49" t="s">
        <v>10</v>
      </c>
      <c r="B5" s="50" t="s">
        <v>35</v>
      </c>
      <c r="C5" s="49" t="s">
        <v>36</v>
      </c>
    </row>
    <row r="6" spans="1:3" ht="30" x14ac:dyDescent="0.25">
      <c r="A6" s="47" t="s">
        <v>8</v>
      </c>
      <c r="B6" s="48" t="s">
        <v>49</v>
      </c>
      <c r="C6" s="47" t="s">
        <v>50</v>
      </c>
    </row>
    <row r="7" spans="1:3" ht="30" x14ac:dyDescent="0.25">
      <c r="A7" s="49" t="s">
        <v>14</v>
      </c>
      <c r="B7" s="50" t="s">
        <v>49</v>
      </c>
      <c r="C7" s="49" t="s">
        <v>51</v>
      </c>
    </row>
    <row r="8" spans="1:3" x14ac:dyDescent="0.25">
      <c r="A8" s="49"/>
      <c r="B8" s="49"/>
      <c r="C8" s="49"/>
    </row>
    <row r="9" spans="1:3" ht="31.5" x14ac:dyDescent="0.25">
      <c r="A9" s="51" t="s">
        <v>37</v>
      </c>
      <c r="B9" s="49"/>
      <c r="C9" s="49"/>
    </row>
    <row r="10" spans="1:3" ht="15.75" x14ac:dyDescent="0.25">
      <c r="A10" s="52" t="s">
        <v>38</v>
      </c>
      <c r="B10" s="52" t="s">
        <v>39</v>
      </c>
      <c r="C10" s="49"/>
    </row>
    <row r="11" spans="1:3" x14ac:dyDescent="0.25">
      <c r="A11" s="47" t="s">
        <v>40</v>
      </c>
      <c r="B11" s="53" t="s">
        <v>41</v>
      </c>
      <c r="C11" s="49"/>
    </row>
    <row r="12" spans="1:3" x14ac:dyDescent="0.25">
      <c r="A12" s="49" t="s">
        <v>42</v>
      </c>
      <c r="B12" s="54" t="s">
        <v>41</v>
      </c>
      <c r="C12" s="49"/>
    </row>
    <row r="13" spans="1:3" x14ac:dyDescent="0.25">
      <c r="A13" s="47" t="s">
        <v>43</v>
      </c>
      <c r="B13" s="53" t="s">
        <v>10</v>
      </c>
      <c r="C13" s="49"/>
    </row>
    <row r="14" spans="1:3" x14ac:dyDescent="0.25">
      <c r="A14" s="49" t="s">
        <v>44</v>
      </c>
      <c r="B14" s="54" t="s">
        <v>6</v>
      </c>
      <c r="C14" s="49"/>
    </row>
    <row r="15" spans="1:3" x14ac:dyDescent="0.25">
      <c r="A15" s="47" t="s">
        <v>45</v>
      </c>
      <c r="B15" s="53" t="s">
        <v>4</v>
      </c>
      <c r="C15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C17"/>
  <sheetViews>
    <sheetView workbookViewId="0">
      <selection activeCell="C21" sqref="C21"/>
    </sheetView>
  </sheetViews>
  <sheetFormatPr baseColWidth="10" defaultRowHeight="15" x14ac:dyDescent="0.25"/>
  <cols>
    <col min="1" max="1" width="30.7109375" customWidth="1"/>
    <col min="2" max="2" width="36.42578125" customWidth="1"/>
    <col min="3" max="3" width="50.7109375" customWidth="1"/>
  </cols>
  <sheetData>
    <row r="1" spans="1:3" ht="15" customHeight="1" x14ac:dyDescent="0.25">
      <c r="A1" s="55" t="s">
        <v>18</v>
      </c>
      <c r="B1" s="55" t="s">
        <v>52</v>
      </c>
      <c r="C1" s="55" t="s">
        <v>53</v>
      </c>
    </row>
    <row r="2" spans="1:3" ht="15" customHeight="1" x14ac:dyDescent="0.25">
      <c r="A2" s="56" t="s">
        <v>54</v>
      </c>
      <c r="B2" s="57" t="s">
        <v>55</v>
      </c>
      <c r="C2" s="58">
        <v>250000</v>
      </c>
    </row>
    <row r="3" spans="1:3" ht="15" customHeight="1" x14ac:dyDescent="0.25">
      <c r="A3" s="59" t="s">
        <v>56</v>
      </c>
      <c r="B3" s="60" t="s">
        <v>57</v>
      </c>
      <c r="C3" s="61">
        <v>100000</v>
      </c>
    </row>
    <row r="4" spans="1:3" ht="15" customHeight="1" x14ac:dyDescent="0.25">
      <c r="A4" s="56" t="s">
        <v>58</v>
      </c>
      <c r="B4" s="57" t="s">
        <v>59</v>
      </c>
      <c r="C4" s="58">
        <v>50000</v>
      </c>
    </row>
    <row r="5" spans="1:3" ht="15" customHeight="1" x14ac:dyDescent="0.25">
      <c r="A5" s="59" t="s">
        <v>60</v>
      </c>
      <c r="B5" s="60" t="s">
        <v>61</v>
      </c>
      <c r="C5" s="61">
        <v>37500</v>
      </c>
    </row>
    <row r="6" spans="1:3" ht="15" customHeight="1" x14ac:dyDescent="0.25">
      <c r="A6" s="56" t="s">
        <v>62</v>
      </c>
      <c r="B6" s="57" t="s">
        <v>63</v>
      </c>
      <c r="C6" s="58">
        <v>25000</v>
      </c>
    </row>
    <row r="7" spans="1:3" ht="15" customHeight="1" x14ac:dyDescent="0.25">
      <c r="A7" s="59" t="s">
        <v>64</v>
      </c>
      <c r="B7" s="60" t="s">
        <v>63</v>
      </c>
      <c r="C7" s="61">
        <v>25000</v>
      </c>
    </row>
    <row r="8" spans="1:3" ht="15" customHeight="1" x14ac:dyDescent="0.25">
      <c r="A8" s="56" t="s">
        <v>65</v>
      </c>
      <c r="B8" s="57" t="s">
        <v>66</v>
      </c>
      <c r="C8" s="58">
        <v>12500</v>
      </c>
    </row>
    <row r="9" spans="1:3" ht="15" customHeight="1" x14ac:dyDescent="0.25">
      <c r="A9" s="59" t="s">
        <v>67</v>
      </c>
      <c r="B9" s="60" t="s">
        <v>68</v>
      </c>
      <c r="C9" s="62" t="s">
        <v>69</v>
      </c>
    </row>
    <row r="10" spans="1:3" ht="15" customHeight="1" x14ac:dyDescent="0.25">
      <c r="A10" s="56" t="s">
        <v>70</v>
      </c>
      <c r="B10" s="57" t="s">
        <v>71</v>
      </c>
      <c r="C10" s="63" t="s">
        <v>72</v>
      </c>
    </row>
    <row r="11" spans="1:3" ht="15" customHeight="1" x14ac:dyDescent="0.25">
      <c r="A11" s="59" t="s">
        <v>73</v>
      </c>
      <c r="B11" s="60" t="s">
        <v>74</v>
      </c>
      <c r="C11" s="62" t="s">
        <v>75</v>
      </c>
    </row>
    <row r="12" spans="1:3" ht="15" customHeight="1" x14ac:dyDescent="0.25">
      <c r="A12" s="56" t="s">
        <v>76</v>
      </c>
      <c r="B12" s="57" t="s">
        <v>77</v>
      </c>
      <c r="C12" s="63" t="s">
        <v>78</v>
      </c>
    </row>
    <row r="13" spans="1:3" ht="15" customHeight="1" x14ac:dyDescent="0.25">
      <c r="A13" s="59" t="s">
        <v>79</v>
      </c>
      <c r="B13" s="60" t="s">
        <v>80</v>
      </c>
      <c r="C13" s="62" t="s">
        <v>81</v>
      </c>
    </row>
    <row r="14" spans="1:3" ht="15" customHeight="1" x14ac:dyDescent="0.25">
      <c r="A14" s="56" t="s">
        <v>82</v>
      </c>
      <c r="B14" s="57" t="s">
        <v>83</v>
      </c>
      <c r="C14" s="63" t="s">
        <v>75</v>
      </c>
    </row>
    <row r="15" spans="1:3" ht="15" customHeight="1" x14ac:dyDescent="0.25">
      <c r="A15" s="64" t="s">
        <v>84</v>
      </c>
      <c r="B15" s="65" t="s">
        <v>85</v>
      </c>
      <c r="C15" s="66">
        <v>70000</v>
      </c>
    </row>
    <row r="16" spans="1:3" ht="15" customHeight="1" x14ac:dyDescent="0.25">
      <c r="A16" s="64" t="s">
        <v>86</v>
      </c>
      <c r="B16" s="65" t="s">
        <v>87</v>
      </c>
      <c r="C16" s="66">
        <v>180000</v>
      </c>
    </row>
    <row r="17" spans="1:3" ht="15" customHeight="1" x14ac:dyDescent="0.25">
      <c r="A17" s="64" t="s">
        <v>88</v>
      </c>
      <c r="B17" s="65" t="s">
        <v>89</v>
      </c>
      <c r="C17" s="67">
        <v>0.28000000000000003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01_Current_Costs</vt:lpstr>
      <vt:lpstr>02_Optimization_Model</vt:lpstr>
      <vt:lpstr>03_Assumptions</vt:lpstr>
      <vt:lpstr>04_Formula_Logic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Cuellar</cp:lastModifiedBy>
  <dcterms:modified xsi:type="dcterms:W3CDTF">2026-04-25T00:34:40Z</dcterms:modified>
</cp:coreProperties>
</file>
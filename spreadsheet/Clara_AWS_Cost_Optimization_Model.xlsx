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jects\AWS Cost Optimization\spreadsheet\"/>
    </mc:Choice>
  </mc:AlternateContent>
  <xr:revisionPtr revIDLastSave="0" documentId="13_ncr:1_{C109CBF8-303B-4798-9829-A23BB521B1C5}" xr6:coauthVersionLast="47" xr6:coauthVersionMax="47" xr10:uidLastSave="{00000000-0000-0000-0000-000000000000}"/>
  <bookViews>
    <workbookView xWindow="14070" yWindow="375" windowWidth="17655" windowHeight="15750" activeTab="1" xr2:uid="{00000000-000D-0000-FFFF-FFFF00000000}"/>
  </bookViews>
  <sheets>
    <sheet name="01_Current_Costs" sheetId="1" r:id="rId1"/>
    <sheet name="02_Optimization_Model" sheetId="2" r:id="rId2"/>
    <sheet name="03_Assump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B8" i="2"/>
  <c r="D7" i="2"/>
  <c r="E7" i="2" s="1"/>
  <c r="D6" i="2"/>
  <c r="E6" i="2" s="1"/>
  <c r="D5" i="2"/>
  <c r="E5" i="2" s="1"/>
  <c r="D4" i="2"/>
  <c r="E4" i="2" s="1"/>
  <c r="D3" i="2"/>
  <c r="E3" i="2" s="1"/>
  <c r="D2" i="2"/>
  <c r="E2" i="2" s="1"/>
  <c r="E8" i="2" s="1"/>
  <c r="B10" i="2" s="1"/>
  <c r="C8" i="1"/>
  <c r="B8" i="1"/>
  <c r="C2" i="1" l="1"/>
  <c r="C7" i="1"/>
  <c r="C6" i="1"/>
  <c r="C5" i="1"/>
  <c r="C4" i="1"/>
  <c r="C3" i="1"/>
</calcChain>
</file>

<file path=xl/sharedStrings.xml><?xml version="1.0" encoding="utf-8"?>
<sst xmlns="http://schemas.openxmlformats.org/spreadsheetml/2006/main" count="70" uniqueCount="51">
  <si>
    <t>Service</t>
  </si>
  <si>
    <t>Monthly Cost ($)</t>
  </si>
  <si>
    <t>% of Total</t>
  </si>
  <si>
    <t>Notes</t>
  </si>
  <si>
    <t>EC2</t>
  </si>
  <si>
    <t>Overprovisioned</t>
  </si>
  <si>
    <t>EBS</t>
  </si>
  <si>
    <t>Unattached volumes</t>
  </si>
  <si>
    <t>RDS</t>
  </si>
  <si>
    <t>Stable</t>
  </si>
  <si>
    <t>S3</t>
  </si>
  <si>
    <t>No lifecycle</t>
  </si>
  <si>
    <t>EKS</t>
  </si>
  <si>
    <t>Fixed nodes</t>
  </si>
  <si>
    <t>Lambda</t>
  </si>
  <si>
    <t>Low concern</t>
  </si>
  <si>
    <t>TOTAL</t>
  </si>
  <si>
    <t>EC2 Detail</t>
  </si>
  <si>
    <t>Metric</t>
  </si>
  <si>
    <t>Value</t>
  </si>
  <si>
    <t>Total Instances</t>
  </si>
  <si>
    <t>% c5.xlarge</t>
  </si>
  <si>
    <t>Avg CPU Utilization</t>
  </si>
  <si>
    <t>Current Cost</t>
  </si>
  <si>
    <t>Reduction %</t>
  </si>
  <si>
    <t>Optimized Cost</t>
  </si>
  <si>
    <t>Monthly Savings</t>
  </si>
  <si>
    <t>Total Savings %</t>
  </si>
  <si>
    <t>Area</t>
  </si>
  <si>
    <t>Assumption</t>
  </si>
  <si>
    <t>Reason</t>
  </si>
  <si>
    <t>35% reduction</t>
  </si>
  <si>
    <t>CPU at 30% indicates overprovisioning</t>
  </si>
  <si>
    <t>30% reduction</t>
  </si>
  <si>
    <t>No autoscaling</t>
  </si>
  <si>
    <t>Unattached volumes + snapshots</t>
  </si>
  <si>
    <t>40% reduction</t>
  </si>
  <si>
    <t>80% in Standard storage</t>
  </si>
  <si>
    <t>10% reduction</t>
  </si>
  <si>
    <t>Conservative estimate</t>
  </si>
  <si>
    <t>5% reduction</t>
  </si>
  <si>
    <t>Already efficient</t>
  </si>
  <si>
    <t>Optimization Levers</t>
  </si>
  <si>
    <t>Lever</t>
  </si>
  <si>
    <t>Applies To</t>
  </si>
  <si>
    <t>Rightsizing</t>
  </si>
  <si>
    <t>EC2, EKS</t>
  </si>
  <si>
    <t>Autoscaling</t>
  </si>
  <si>
    <t>Storage Tiering</t>
  </si>
  <si>
    <t>Cleanup</t>
  </si>
  <si>
    <t>Savings Plans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</si>
</sst>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2"/>
      <color rgb="FF1F4E79"/>
      <name val="Calibri"/>
    </font>
    <font>
      <b/>
      <sz val="11"/>
      <color rgb="FF548235"/>
      <name val="Calibri"/>
      <family val="2"/>
      <scheme val="minor"/>
    </font>
    <font>
      <b/>
      <sz val="12"/>
      <color rgb="FF54823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/>
      <diagonal/>
    </border>
    <border>
      <left style="thin">
        <color auto="1"/>
      </left>
      <right style="thin">
        <color auto="1"/>
      </right>
      <top style="double">
        <color rgb="FF1F4E7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1F4E79"/>
      </top>
      <bottom style="thin">
        <color rgb="FF1F4E79"/>
      </bottom>
      <diagonal/>
    </border>
    <border>
      <left style="thin">
        <color rgb="FF1F4E7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1F4E7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1F4E79"/>
      </left>
      <right style="thin">
        <color auto="1"/>
      </right>
      <top style="thin">
        <color rgb="FFD9D9D9"/>
      </top>
      <bottom/>
      <diagonal/>
    </border>
    <border>
      <left style="thin">
        <color rgb="FF1F4E79"/>
      </left>
      <right style="thin">
        <color auto="1"/>
      </right>
      <top style="double">
        <color rgb="FF1F4E79"/>
      </top>
      <bottom style="thin">
        <color rgb="FF1F4E79"/>
      </bottom>
      <diagonal/>
    </border>
    <border>
      <left style="thin">
        <color auto="1"/>
      </left>
      <right style="thin">
        <color rgb="FF1F4E7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1F4E7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1F4E79"/>
      </right>
      <top style="thin">
        <color rgb="FFD9D9D9"/>
      </top>
      <bottom/>
      <diagonal/>
    </border>
    <border>
      <left style="thin">
        <color auto="1"/>
      </left>
      <right style="thin">
        <color rgb="FF1F4E79"/>
      </right>
      <top style="double">
        <color rgb="FF1F4E79"/>
      </top>
      <bottom style="thin">
        <color rgb="FF1F4E79"/>
      </bottom>
      <diagonal/>
    </border>
    <border>
      <left style="thin">
        <color rgb="FF1F4E79"/>
      </left>
      <right style="thin">
        <color auto="1"/>
      </right>
      <top style="thin">
        <color rgb="FF1F4E79"/>
      </top>
      <bottom/>
      <diagonal/>
    </border>
    <border>
      <left style="thin">
        <color auto="1"/>
      </left>
      <right style="thin">
        <color auto="1"/>
      </right>
      <top style="thin">
        <color rgb="FF1F4E79"/>
      </top>
      <bottom/>
      <diagonal/>
    </border>
    <border>
      <left style="thin">
        <color auto="1"/>
      </left>
      <right style="thin">
        <color rgb="FF1F4E79"/>
      </right>
      <top style="thin">
        <color rgb="FF1F4E79"/>
      </top>
      <bottom/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2E75B6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2E75B6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2E75B6"/>
      </right>
      <top style="thin">
        <color rgb="FFD9D9D9"/>
      </top>
      <bottom style="thin">
        <color rgb="FFD9D9D9"/>
      </bottom>
      <diagonal/>
    </border>
    <border>
      <left style="thin">
        <color rgb="FF2E75B6"/>
      </left>
      <right style="thin">
        <color auto="1"/>
      </right>
      <top style="thin">
        <color rgb="FF2E75B6"/>
      </top>
      <bottom/>
      <diagonal/>
    </border>
    <border>
      <left style="thin">
        <color auto="1"/>
      </left>
      <right style="thin">
        <color rgb="FF2E75B6"/>
      </right>
      <top style="thin">
        <color rgb="FF2E75B6"/>
      </top>
      <bottom/>
      <diagonal/>
    </border>
    <border>
      <left style="thin">
        <color rgb="FF2E75B6"/>
      </left>
      <right style="thin">
        <color rgb="FFD9D9D9"/>
      </right>
      <top style="thin">
        <color rgb="FFD9D9D9"/>
      </top>
      <bottom style="thin">
        <color rgb="FF2E75B6"/>
      </bottom>
      <diagonal/>
    </border>
    <border>
      <left style="thin">
        <color rgb="FFD9D9D9"/>
      </left>
      <right style="thin">
        <color rgb="FF2E75B6"/>
      </right>
      <top style="thin">
        <color rgb="FFD9D9D9"/>
      </top>
      <bottom style="thin">
        <color rgb="FF2E75B6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auto="1"/>
      </right>
      <top style="thin">
        <color rgb="FFD9D9D9"/>
      </top>
      <bottom/>
      <diagonal/>
    </border>
    <border>
      <left style="thin">
        <color rgb="FF1F4E7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1F4E7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1F4E7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1F4E79"/>
      </right>
      <top style="thin">
        <color rgb="FFD9D9D9"/>
      </top>
      <bottom style="thin">
        <color rgb="FFD9D9D9"/>
      </bottom>
      <diagonal/>
    </border>
    <border>
      <left style="thin">
        <color rgb="FF1F4E79"/>
      </left>
      <right style="thin">
        <color rgb="FFD9D9D9"/>
      </right>
      <top style="thin">
        <color rgb="FFD9D9D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1F4E79"/>
      </bottom>
      <diagonal/>
    </border>
    <border>
      <left style="thin">
        <color rgb="FFD9D9D9"/>
      </left>
      <right style="thin">
        <color rgb="FF1F4E79"/>
      </right>
      <top style="thin">
        <color rgb="FFD9D9D9"/>
      </top>
      <bottom style="thin">
        <color rgb="FF1F4E7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4" fillId="2" borderId="1" xfId="0" applyFont="1" applyFill="1" applyBorder="1" applyAlignment="1">
      <alignment horizontal="center"/>
    </xf>
    <xf numFmtId="0" fontId="1" fillId="4" borderId="5" xfId="0" applyFont="1" applyFill="1" applyBorder="1"/>
    <xf numFmtId="0" fontId="0" fillId="3" borderId="7" xfId="0" applyFill="1" applyBorder="1"/>
    <xf numFmtId="0" fontId="0" fillId="0" borderId="8" xfId="0" applyBorder="1"/>
    <xf numFmtId="0" fontId="0" fillId="3" borderId="8" xfId="0" applyFill="1" applyBorder="1"/>
    <xf numFmtId="0" fontId="0" fillId="0" borderId="9" xfId="0" applyBorder="1"/>
    <xf numFmtId="0" fontId="1" fillId="4" borderId="10" xfId="0" applyFont="1" applyFill="1" applyBorder="1"/>
    <xf numFmtId="0" fontId="0" fillId="3" borderId="11" xfId="0" applyFill="1" applyBorder="1"/>
    <xf numFmtId="0" fontId="0" fillId="0" borderId="12" xfId="0" applyBorder="1"/>
    <xf numFmtId="0" fontId="0" fillId="3" borderId="12" xfId="0" applyFill="1" applyBorder="1"/>
    <xf numFmtId="0" fontId="0" fillId="0" borderId="13" xfId="0" applyBorder="1"/>
    <xf numFmtId="0" fontId="2" fillId="4" borderId="14" xfId="0" applyFont="1" applyFill="1" applyBorder="1"/>
    <xf numFmtId="0" fontId="4" fillId="2" borderId="15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5" fillId="0" borderId="0" xfId="0" applyFont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3" fillId="5" borderId="26" xfId="0" applyFont="1" applyFill="1" applyBorder="1" applyAlignment="1">
      <alignment horizontal="center"/>
    </xf>
    <xf numFmtId="0" fontId="3" fillId="5" borderId="27" xfId="0" applyFont="1" applyFill="1" applyBorder="1" applyAlignment="1">
      <alignment horizontal="center"/>
    </xf>
    <xf numFmtId="0" fontId="0" fillId="0" borderId="28" xfId="0" applyBorder="1"/>
    <xf numFmtId="164" fontId="0" fillId="3" borderId="2" xfId="0" applyNumberFormat="1" applyFill="1" applyBorder="1" applyAlignment="1">
      <alignment horizontal="right"/>
    </xf>
    <xf numFmtId="164" fontId="0" fillId="0" borderId="3" xfId="0" applyNumberFormat="1" applyBorder="1" applyAlignment="1">
      <alignment horizontal="right"/>
    </xf>
    <xf numFmtId="164" fontId="0" fillId="3" borderId="3" xfId="0" applyNumberFormat="1" applyFill="1" applyBorder="1" applyAlignment="1">
      <alignment horizontal="right"/>
    </xf>
    <xf numFmtId="164" fontId="0" fillId="0" borderId="4" xfId="0" applyNumberFormat="1" applyBorder="1" applyAlignment="1">
      <alignment horizontal="right"/>
    </xf>
    <xf numFmtId="164" fontId="1" fillId="4" borderId="6" xfId="0" applyNumberFormat="1" applyFont="1" applyFill="1" applyBorder="1" applyAlignment="1">
      <alignment horizontal="right"/>
    </xf>
    <xf numFmtId="9" fontId="0" fillId="3" borderId="2" xfId="0" applyNumberFormat="1" applyFill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9" fontId="0" fillId="3" borderId="3" xfId="0" applyNumberFormat="1" applyFill="1" applyBorder="1" applyAlignment="1">
      <alignment horizontal="center"/>
    </xf>
    <xf numFmtId="9" fontId="0" fillId="0" borderId="4" xfId="0" applyNumberFormat="1" applyBorder="1" applyAlignment="1">
      <alignment horizontal="center"/>
    </xf>
    <xf numFmtId="9" fontId="1" fillId="4" borderId="6" xfId="0" applyNumberFormat="1" applyFont="1" applyFill="1" applyBorder="1" applyAlignment="1">
      <alignment horizontal="center"/>
    </xf>
    <xf numFmtId="0" fontId="0" fillId="0" borderId="24" xfId="0" applyBorder="1" applyAlignment="1">
      <alignment horizontal="right"/>
    </xf>
    <xf numFmtId="9" fontId="0" fillId="0" borderId="25" xfId="0" applyNumberFormat="1" applyBorder="1" applyAlignment="1">
      <alignment horizontal="right"/>
    </xf>
    <xf numFmtId="9" fontId="0" fillId="0" borderId="29" xfId="0" applyNumberFormat="1" applyBorder="1" applyAlignment="1">
      <alignment horizontal="right"/>
    </xf>
    <xf numFmtId="0" fontId="0" fillId="3" borderId="18" xfId="0" applyFill="1" applyBorder="1"/>
    <xf numFmtId="0" fontId="0" fillId="3" borderId="20" xfId="0" applyFill="1" applyBorder="1"/>
    <xf numFmtId="0" fontId="0" fillId="0" borderId="32" xfId="0" applyBorder="1"/>
    <xf numFmtId="0" fontId="0" fillId="3" borderId="35" xfId="0" applyFill="1" applyBorder="1"/>
    <xf numFmtId="0" fontId="0" fillId="0" borderId="36" xfId="0" applyBorder="1"/>
    <xf numFmtId="0" fontId="0" fillId="3" borderId="36" xfId="0" applyFill="1" applyBorder="1"/>
    <xf numFmtId="9" fontId="7" fillId="0" borderId="0" xfId="0" applyNumberFormat="1" applyFont="1"/>
    <xf numFmtId="164" fontId="0" fillId="3" borderId="30" xfId="0" applyNumberFormat="1" applyFill="1" applyBorder="1" applyAlignment="1">
      <alignment horizontal="right"/>
    </xf>
    <xf numFmtId="164" fontId="0" fillId="0" borderId="31" xfId="0" applyNumberFormat="1" applyBorder="1" applyAlignment="1">
      <alignment horizontal="right"/>
    </xf>
    <xf numFmtId="164" fontId="0" fillId="3" borderId="31" xfId="0" applyNumberFormat="1" applyFill="1" applyBorder="1" applyAlignment="1">
      <alignment horizontal="right"/>
    </xf>
    <xf numFmtId="164" fontId="0" fillId="0" borderId="33" xfId="0" applyNumberFormat="1" applyBorder="1" applyAlignment="1">
      <alignment horizontal="right"/>
    </xf>
    <xf numFmtId="9" fontId="0" fillId="3" borderId="30" xfId="0" applyNumberFormat="1" applyFill="1" applyBorder="1" applyAlignment="1">
      <alignment horizontal="center"/>
    </xf>
    <xf numFmtId="9" fontId="0" fillId="0" borderId="31" xfId="0" applyNumberFormat="1" applyBorder="1" applyAlignment="1">
      <alignment horizontal="center"/>
    </xf>
    <xf numFmtId="9" fontId="0" fillId="3" borderId="31" xfId="0" applyNumberFormat="1" applyFill="1" applyBorder="1" applyAlignment="1">
      <alignment horizontal="center"/>
    </xf>
    <xf numFmtId="9" fontId="0" fillId="0" borderId="33" xfId="0" applyNumberFormat="1" applyBorder="1" applyAlignment="1">
      <alignment horizontal="center"/>
    </xf>
    <xf numFmtId="0" fontId="0" fillId="3" borderId="37" xfId="0" applyFill="1" applyBorder="1"/>
    <xf numFmtId="0" fontId="0" fillId="0" borderId="38" xfId="0" applyBorder="1"/>
    <xf numFmtId="0" fontId="0" fillId="3" borderId="38" xfId="0" applyFill="1" applyBorder="1"/>
    <xf numFmtId="0" fontId="0" fillId="0" borderId="39" xfId="0" applyBorder="1"/>
    <xf numFmtId="0" fontId="0" fillId="0" borderId="41" xfId="0" applyBorder="1"/>
    <xf numFmtId="0" fontId="0" fillId="3" borderId="22" xfId="0" applyFill="1" applyBorder="1"/>
    <xf numFmtId="0" fontId="0" fillId="3" borderId="23" xfId="0" applyFill="1" applyBorder="1"/>
    <xf numFmtId="0" fontId="0" fillId="3" borderId="28" xfId="0" applyFill="1" applyBorder="1"/>
    <xf numFmtId="0" fontId="0" fillId="3" borderId="30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0" borderId="25" xfId="0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9" xfId="0" applyFill="1" applyBorder="1" applyAlignment="1">
      <alignment horizontal="left"/>
    </xf>
    <xf numFmtId="164" fontId="6" fillId="6" borderId="19" xfId="0" applyNumberFormat="1" applyFont="1" applyFill="1" applyBorder="1" applyAlignment="1">
      <alignment horizontal="right"/>
    </xf>
    <xf numFmtId="164" fontId="6" fillId="6" borderId="21" xfId="0" applyNumberFormat="1" applyFont="1" applyFill="1" applyBorder="1" applyAlignment="1">
      <alignment horizontal="right"/>
    </xf>
    <xf numFmtId="164" fontId="6" fillId="6" borderId="34" xfId="0" applyNumberFormat="1" applyFont="1" applyFill="1" applyBorder="1" applyAlignment="1">
      <alignment horizontal="right"/>
    </xf>
    <xf numFmtId="164" fontId="1" fillId="4" borderId="5" xfId="0" applyNumberFormat="1" applyFont="1" applyFill="1" applyBorder="1" applyAlignment="1">
      <alignment horizontal="right"/>
    </xf>
    <xf numFmtId="0" fontId="2" fillId="4" borderId="5" xfId="0" applyFont="1" applyFill="1" applyBorder="1" applyAlignment="1">
      <alignment horizontal="center"/>
    </xf>
    <xf numFmtId="164" fontId="3" fillId="7" borderId="5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ont>
        <color rgb="FFC65911"/>
      </font>
      <fill>
        <patternFill patternType="solid">
          <fgColor indexed="64"/>
          <b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vs Optimized Cost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'02_Optimization_Model'!$B$1</c:f>
              <c:strCache>
                <c:ptCount val="1"/>
                <c:pt idx="0">
                  <c:v>Current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'02_Optimization_Model'!$A$2:$A$7</c:f>
              <c:strCache>
                <c:ptCount val="6"/>
                <c:pt idx="0">
                  <c:v>EC2</c:v>
                </c:pt>
                <c:pt idx="1">
                  <c:v>EKS</c:v>
                </c:pt>
                <c:pt idx="2">
                  <c:v>EBS</c:v>
                </c:pt>
                <c:pt idx="3">
                  <c:v>S3</c:v>
                </c:pt>
                <c:pt idx="4">
                  <c:v>RDS</c:v>
                </c:pt>
                <c:pt idx="5">
                  <c:v>Lambda</c:v>
                </c:pt>
              </c:strCache>
            </c:strRef>
          </c:cat>
          <c:val>
            <c:numRef>
              <c:f>'02_Optimization_Model'!$B$2:$B$7</c:f>
              <c:numCache>
                <c:formatCode>"$"#,##0</c:formatCode>
                <c:ptCount val="6"/>
                <c:pt idx="0">
                  <c:v>100000</c:v>
                </c:pt>
                <c:pt idx="1">
                  <c:v>25000</c:v>
                </c:pt>
                <c:pt idx="2">
                  <c:v>50000</c:v>
                </c:pt>
                <c:pt idx="3">
                  <c:v>25000</c:v>
                </c:pt>
                <c:pt idx="4">
                  <c:v>37500</c:v>
                </c:pt>
                <c:pt idx="5">
                  <c:v>12500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8331-4236-98CB-D8A54B1134F7}"/>
            </c:ext>
          </c:extLst>
        </c:ser>
        <c:ser>
          <c:idx val="1"/>
          <c:order val="1"/>
          <c:tx>
            <c:strRef>
              <c:f>'02_Optimization_Model'!$C$1</c:f>
              <c:strCache>
                <c:ptCount val="1"/>
                <c:pt idx="0">
                  <c:v>Reduction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'02_Optimization_Model'!$A$2:$A$7</c:f>
              <c:strCache>
                <c:ptCount val="6"/>
                <c:pt idx="0">
                  <c:v>EC2</c:v>
                </c:pt>
                <c:pt idx="1">
                  <c:v>EKS</c:v>
                </c:pt>
                <c:pt idx="2">
                  <c:v>EBS</c:v>
                </c:pt>
                <c:pt idx="3">
                  <c:v>S3</c:v>
                </c:pt>
                <c:pt idx="4">
                  <c:v>RDS</c:v>
                </c:pt>
                <c:pt idx="5">
                  <c:v>Lambda</c:v>
                </c:pt>
              </c:strCache>
            </c:strRef>
          </c:cat>
          <c:val>
            <c:numRef>
              <c:f>'02_Optimization_Model'!$C$2:$C$7</c:f>
              <c:numCache>
                <c:formatCode>0%</c:formatCode>
                <c:ptCount val="6"/>
                <c:pt idx="0">
                  <c:v>0.35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0.1</c:v>
                </c:pt>
                <c:pt idx="5">
                  <c:v>0.05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8331-4236-98CB-D8A54B1134F7}"/>
            </c:ext>
          </c:extLst>
        </c:ser>
        <c:ser>
          <c:idx val="2"/>
          <c:order val="2"/>
          <c:tx>
            <c:strRef>
              <c:f>'02_Optimization_Model'!$D$1</c:f>
              <c:strCache>
                <c:ptCount val="1"/>
                <c:pt idx="0">
                  <c:v>Optimized Cost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'02_Optimization_Model'!$A$2:$A$7</c:f>
              <c:strCache>
                <c:ptCount val="6"/>
                <c:pt idx="0">
                  <c:v>EC2</c:v>
                </c:pt>
                <c:pt idx="1">
                  <c:v>EKS</c:v>
                </c:pt>
                <c:pt idx="2">
                  <c:v>EBS</c:v>
                </c:pt>
                <c:pt idx="3">
                  <c:v>S3</c:v>
                </c:pt>
                <c:pt idx="4">
                  <c:v>RDS</c:v>
                </c:pt>
                <c:pt idx="5">
                  <c:v>Lambda</c:v>
                </c:pt>
              </c:strCache>
            </c:strRef>
          </c:cat>
          <c:val>
            <c:numRef>
              <c:f>'02_Optimization_Model'!$D$2:$D$7</c:f>
              <c:numCache>
                <c:formatCode>"$"#,##0</c:formatCode>
                <c:ptCount val="6"/>
                <c:pt idx="0">
                  <c:v>65000</c:v>
                </c:pt>
                <c:pt idx="1">
                  <c:v>17500</c:v>
                </c:pt>
                <c:pt idx="2">
                  <c:v>32500</c:v>
                </c:pt>
                <c:pt idx="3">
                  <c:v>15000</c:v>
                </c:pt>
                <c:pt idx="4">
                  <c:v>33750</c:v>
                </c:pt>
                <c:pt idx="5">
                  <c:v>11875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8331-4236-98CB-D8A54B1134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"/>
        <c:axId val="100"/>
      </c:bar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Service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206259259259262"/>
          <c:y val="6.1148148148148146E-2"/>
          <c:w val="0.48511528366646478"/>
          <c:h val="4.4643160304303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10</xdr:row>
      <xdr:rowOff>133349</xdr:rowOff>
    </xdr:from>
    <xdr:ext cx="7620000" cy="480060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D14"/>
  <sheetViews>
    <sheetView workbookViewId="0">
      <pane ySplit="1" topLeftCell="A2" activePane="bottomLeft" state="frozen"/>
      <selection pane="bottomLeft" activeCell="B14" sqref="B14"/>
    </sheetView>
  </sheetViews>
  <sheetFormatPr baseColWidth="10" defaultColWidth="9.140625" defaultRowHeight="15" x14ac:dyDescent="0.25"/>
  <cols>
    <col min="1" max="1" width="22.85546875" customWidth="1"/>
    <col min="2" max="2" width="19" customWidth="1"/>
    <col min="3" max="3" width="15.28515625" customWidth="1"/>
    <col min="4" max="4" width="24.7109375" customWidth="1"/>
  </cols>
  <sheetData>
    <row r="1" spans="1:4" ht="24.95" customHeight="1" x14ac:dyDescent="0.25">
      <c r="A1" s="13" t="s">
        <v>0</v>
      </c>
      <c r="B1" s="14" t="s">
        <v>1</v>
      </c>
      <c r="C1" s="14" t="s">
        <v>2</v>
      </c>
      <c r="D1" s="15" t="s">
        <v>3</v>
      </c>
    </row>
    <row r="2" spans="1:4" x14ac:dyDescent="0.25">
      <c r="A2" s="3" t="s">
        <v>4</v>
      </c>
      <c r="B2" s="23">
        <v>100000</v>
      </c>
      <c r="C2" s="28">
        <f t="shared" ref="C2:C7" si="0">B2/$B$8</f>
        <v>0.4</v>
      </c>
      <c r="D2" s="8" t="s">
        <v>5</v>
      </c>
    </row>
    <row r="3" spans="1:4" x14ac:dyDescent="0.25">
      <c r="A3" s="4" t="s">
        <v>6</v>
      </c>
      <c r="B3" s="24">
        <v>50000</v>
      </c>
      <c r="C3" s="29">
        <f t="shared" si="0"/>
        <v>0.2</v>
      </c>
      <c r="D3" s="9" t="s">
        <v>7</v>
      </c>
    </row>
    <row r="4" spans="1:4" x14ac:dyDescent="0.25">
      <c r="A4" s="5" t="s">
        <v>8</v>
      </c>
      <c r="B4" s="25">
        <v>37500</v>
      </c>
      <c r="C4" s="30">
        <f t="shared" si="0"/>
        <v>0.15</v>
      </c>
      <c r="D4" s="10" t="s">
        <v>9</v>
      </c>
    </row>
    <row r="5" spans="1:4" x14ac:dyDescent="0.25">
      <c r="A5" s="4" t="s">
        <v>10</v>
      </c>
      <c r="B5" s="24">
        <v>25000</v>
      </c>
      <c r="C5" s="29">
        <f t="shared" si="0"/>
        <v>0.1</v>
      </c>
      <c r="D5" s="9" t="s">
        <v>11</v>
      </c>
    </row>
    <row r="6" spans="1:4" x14ac:dyDescent="0.25">
      <c r="A6" s="5" t="s">
        <v>12</v>
      </c>
      <c r="B6" s="25">
        <v>25000</v>
      </c>
      <c r="C6" s="30">
        <f t="shared" si="0"/>
        <v>0.1</v>
      </c>
      <c r="D6" s="10" t="s">
        <v>13</v>
      </c>
    </row>
    <row r="7" spans="1:4" ht="15.75" thickBot="1" x14ac:dyDescent="0.3">
      <c r="A7" s="6" t="s">
        <v>14</v>
      </c>
      <c r="B7" s="26">
        <v>12500</v>
      </c>
      <c r="C7" s="31">
        <f t="shared" si="0"/>
        <v>0.05</v>
      </c>
      <c r="D7" s="11" t="s">
        <v>15</v>
      </c>
    </row>
    <row r="8" spans="1:4" ht="15.75" thickTop="1" x14ac:dyDescent="0.25">
      <c r="A8" s="7" t="s">
        <v>16</v>
      </c>
      <c r="B8" s="27">
        <f>SUM(B2:B7)</f>
        <v>250000</v>
      </c>
      <c r="C8" s="32">
        <f>1</f>
        <v>1</v>
      </c>
      <c r="D8" s="12"/>
    </row>
    <row r="10" spans="1:4" ht="15.75" x14ac:dyDescent="0.25">
      <c r="A10" s="16" t="s">
        <v>17</v>
      </c>
    </row>
    <row r="11" spans="1:4" ht="15.75" x14ac:dyDescent="0.25">
      <c r="A11" s="20" t="s">
        <v>18</v>
      </c>
      <c r="B11" s="21" t="s">
        <v>19</v>
      </c>
    </row>
    <row r="12" spans="1:4" x14ac:dyDescent="0.25">
      <c r="A12" s="18" t="s">
        <v>20</v>
      </c>
      <c r="B12" s="33">
        <v>500</v>
      </c>
    </row>
    <row r="13" spans="1:4" x14ac:dyDescent="0.25">
      <c r="A13" s="19" t="s">
        <v>21</v>
      </c>
      <c r="B13" s="34">
        <v>0.6</v>
      </c>
    </row>
    <row r="14" spans="1:4" x14ac:dyDescent="0.25">
      <c r="A14" s="22" t="s">
        <v>22</v>
      </c>
      <c r="B14" s="35">
        <v>0.3</v>
      </c>
    </row>
  </sheetData>
  <conditionalFormatting sqref="D2:D7">
    <cfRule type="containsText" dxfId="0" priority="1" operator="containsText" text="Overprovisioned">
      <formula>NOT(ISERROR(SEARCH("Overprovisioned",D2)))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E10"/>
  <sheetViews>
    <sheetView tabSelected="1" workbookViewId="0">
      <pane ySplit="1" topLeftCell="A2" activePane="bottomLeft" state="frozen"/>
      <selection pane="bottomLeft" activeCell="E13" sqref="E13"/>
    </sheetView>
  </sheetViews>
  <sheetFormatPr baseColWidth="10" defaultColWidth="9.140625" defaultRowHeight="15" x14ac:dyDescent="0.25"/>
  <cols>
    <col min="1" max="2" width="19" customWidth="1"/>
    <col min="3" max="3" width="17.140625" customWidth="1"/>
    <col min="4" max="4" width="21" customWidth="1"/>
    <col min="5" max="5" width="40.140625" customWidth="1"/>
  </cols>
  <sheetData>
    <row r="1" spans="1:5" ht="24.95" customHeight="1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 x14ac:dyDescent="0.25">
      <c r="A2" s="36" t="s">
        <v>4</v>
      </c>
      <c r="B2" s="43">
        <v>100000</v>
      </c>
      <c r="C2" s="47">
        <v>0.35</v>
      </c>
      <c r="D2" s="43">
        <f t="shared" ref="D2:D7" si="0">B2*(1-C2)</f>
        <v>65000</v>
      </c>
      <c r="E2" s="67">
        <f t="shared" ref="E2:E7" si="1">B2-D2</f>
        <v>35000</v>
      </c>
    </row>
    <row r="3" spans="1:5" x14ac:dyDescent="0.25">
      <c r="A3" s="17" t="s">
        <v>12</v>
      </c>
      <c r="B3" s="44">
        <v>25000</v>
      </c>
      <c r="C3" s="48">
        <v>0.3</v>
      </c>
      <c r="D3" s="44">
        <f t="shared" si="0"/>
        <v>17500</v>
      </c>
      <c r="E3" s="68">
        <f t="shared" si="1"/>
        <v>7500</v>
      </c>
    </row>
    <row r="4" spans="1:5" x14ac:dyDescent="0.25">
      <c r="A4" s="37" t="s">
        <v>6</v>
      </c>
      <c r="B4" s="45">
        <v>50000</v>
      </c>
      <c r="C4" s="49">
        <v>0.35</v>
      </c>
      <c r="D4" s="45">
        <f t="shared" si="0"/>
        <v>32500</v>
      </c>
      <c r="E4" s="68">
        <f t="shared" si="1"/>
        <v>17500</v>
      </c>
    </row>
    <row r="5" spans="1:5" x14ac:dyDescent="0.25">
      <c r="A5" s="17" t="s">
        <v>10</v>
      </c>
      <c r="B5" s="44">
        <v>25000</v>
      </c>
      <c r="C5" s="48">
        <v>0.4</v>
      </c>
      <c r="D5" s="44">
        <f t="shared" si="0"/>
        <v>15000</v>
      </c>
      <c r="E5" s="68">
        <f t="shared" si="1"/>
        <v>10000</v>
      </c>
    </row>
    <row r="6" spans="1:5" x14ac:dyDescent="0.25">
      <c r="A6" s="37" t="s">
        <v>8</v>
      </c>
      <c r="B6" s="45">
        <v>37500</v>
      </c>
      <c r="C6" s="49">
        <v>0.1</v>
      </c>
      <c r="D6" s="45">
        <f t="shared" si="0"/>
        <v>33750</v>
      </c>
      <c r="E6" s="68">
        <f t="shared" si="1"/>
        <v>3750</v>
      </c>
    </row>
    <row r="7" spans="1:5" ht="15.75" thickBot="1" x14ac:dyDescent="0.3">
      <c r="A7" s="38" t="s">
        <v>14</v>
      </c>
      <c r="B7" s="46">
        <v>12500</v>
      </c>
      <c r="C7" s="50">
        <v>0.05</v>
      </c>
      <c r="D7" s="46">
        <f t="shared" si="0"/>
        <v>11875</v>
      </c>
      <c r="E7" s="69">
        <f t="shared" si="1"/>
        <v>625</v>
      </c>
    </row>
    <row r="8" spans="1:5" ht="16.5" thickTop="1" x14ac:dyDescent="0.25">
      <c r="A8" s="2" t="s">
        <v>16</v>
      </c>
      <c r="B8" s="70">
        <f>SUM(B2:B7)</f>
        <v>250000</v>
      </c>
      <c r="C8" s="71"/>
      <c r="D8" s="70">
        <f>SUM(D2:D7)</f>
        <v>175625</v>
      </c>
      <c r="E8" s="72">
        <f>SUM(E2:E7)</f>
        <v>74375</v>
      </c>
    </row>
    <row r="10" spans="1:5" ht="15.75" x14ac:dyDescent="0.25">
      <c r="A10" s="16" t="s">
        <v>27</v>
      </c>
      <c r="B10" s="42">
        <f>E8/B8</f>
        <v>0.29749999999999999</v>
      </c>
    </row>
  </sheetData>
  <conditionalFormatting sqref="C2:C7">
    <cfRule type="colorScale" priority="2">
      <colorScale>
        <cfvo type="min"/>
        <cfvo type="max"/>
        <color rgb="FFFF7128"/>
        <color rgb="FFFFEF9C"/>
      </colorScale>
    </cfRule>
    <cfRule type="colorScale" priority="3">
      <colorScale>
        <cfvo type="min"/>
        <cfvo type="max"/>
        <color rgb="FFFF7128"/>
        <color rgb="FFFFEF9C"/>
      </colorScale>
    </cfRule>
  </conditionalFormatting>
  <conditionalFormatting sqref="E2:E7">
    <cfRule type="dataBar" priority="1">
      <dataBar>
        <cfvo type="min"/>
        <cfvo type="max"/>
        <color rgb="FF63BE7B"/>
      </dataBar>
      <extLst>
        <ext xmlns:x14="http://schemas.microsoft.com/office/spreadsheetml/2009/9/main" uri="{B025F937-C7B1-47D3-B67F-A62EFF666E3E}">
          <x14:id>{4B81207E-6D84-4620-8A91-A74E08B3D4E1}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81207E-6D84-4620-8A91-A74E08B3D4E1}">
            <x14:dataBar minLength="0" maxLength="100" border="1" direction="leftToRight" negativeBarColorSameAsPositive="1" axisPosition="none">
              <x14:cfvo type="min"/>
              <x14:cfvo type="max"/>
              <x14:borderColor rgb="FF548235"/>
            </x14:dataBar>
          </x14:cfRule>
          <xm:sqref>E2:E7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C15"/>
  <sheetViews>
    <sheetView workbookViewId="0">
      <pane ySplit="1" topLeftCell="A2" activePane="bottomLeft" state="frozen"/>
      <selection pane="bottomLeft" activeCell="C12" sqref="C12"/>
    </sheetView>
  </sheetViews>
  <sheetFormatPr baseColWidth="10" defaultColWidth="9.140625" defaultRowHeight="15" x14ac:dyDescent="0.25"/>
  <cols>
    <col min="1" max="1" width="24.7109375" customWidth="1"/>
    <col min="2" max="2" width="22.85546875" customWidth="1"/>
    <col min="3" max="3" width="47.5703125" customWidth="1"/>
  </cols>
  <sheetData>
    <row r="1" spans="1:3" ht="24.95" customHeight="1" x14ac:dyDescent="0.25">
      <c r="A1" s="13" t="s">
        <v>28</v>
      </c>
      <c r="B1" s="14" t="s">
        <v>29</v>
      </c>
      <c r="C1" s="15" t="s">
        <v>30</v>
      </c>
    </row>
    <row r="2" spans="1:3" x14ac:dyDescent="0.25">
      <c r="A2" s="39" t="s">
        <v>4</v>
      </c>
      <c r="B2" s="59" t="s">
        <v>31</v>
      </c>
      <c r="C2" s="51" t="s">
        <v>32</v>
      </c>
    </row>
    <row r="3" spans="1:3" x14ac:dyDescent="0.25">
      <c r="A3" s="40" t="s">
        <v>12</v>
      </c>
      <c r="B3" s="60" t="s">
        <v>33</v>
      </c>
      <c r="C3" s="52" t="s">
        <v>34</v>
      </c>
    </row>
    <row r="4" spans="1:3" x14ac:dyDescent="0.25">
      <c r="A4" s="41" t="s">
        <v>6</v>
      </c>
      <c r="B4" s="61" t="s">
        <v>31</v>
      </c>
      <c r="C4" s="53" t="s">
        <v>35</v>
      </c>
    </row>
    <row r="5" spans="1:3" x14ac:dyDescent="0.25">
      <c r="A5" s="40" t="s">
        <v>10</v>
      </c>
      <c r="B5" s="60" t="s">
        <v>36</v>
      </c>
      <c r="C5" s="52" t="s">
        <v>37</v>
      </c>
    </row>
    <row r="6" spans="1:3" x14ac:dyDescent="0.25">
      <c r="A6" s="41" t="s">
        <v>8</v>
      </c>
      <c r="B6" s="61" t="s">
        <v>38</v>
      </c>
      <c r="C6" s="53" t="s">
        <v>39</v>
      </c>
    </row>
    <row r="7" spans="1:3" x14ac:dyDescent="0.25">
      <c r="A7" s="54" t="s">
        <v>14</v>
      </c>
      <c r="B7" s="62" t="s">
        <v>40</v>
      </c>
      <c r="C7" s="55" t="s">
        <v>41</v>
      </c>
    </row>
    <row r="9" spans="1:3" ht="15.75" x14ac:dyDescent="0.25">
      <c r="A9" s="16" t="s">
        <v>42</v>
      </c>
    </row>
    <row r="10" spans="1:3" ht="15.75" x14ac:dyDescent="0.25">
      <c r="A10" s="20" t="s">
        <v>43</v>
      </c>
      <c r="B10" s="21" t="s">
        <v>44</v>
      </c>
    </row>
    <row r="11" spans="1:3" x14ac:dyDescent="0.25">
      <c r="A11" s="56" t="s">
        <v>45</v>
      </c>
      <c r="B11" s="63" t="s">
        <v>46</v>
      </c>
    </row>
    <row r="12" spans="1:3" x14ac:dyDescent="0.25">
      <c r="A12" s="19" t="s">
        <v>47</v>
      </c>
      <c r="B12" s="64" t="s">
        <v>46</v>
      </c>
    </row>
    <row r="13" spans="1:3" x14ac:dyDescent="0.25">
      <c r="A13" s="57" t="s">
        <v>48</v>
      </c>
      <c r="B13" s="65" t="s">
        <v>10</v>
      </c>
    </row>
    <row r="14" spans="1:3" x14ac:dyDescent="0.25">
      <c r="A14" s="19" t="s">
        <v>49</v>
      </c>
      <c r="B14" s="64" t="s">
        <v>6</v>
      </c>
    </row>
    <row r="15" spans="1:3" x14ac:dyDescent="0.25">
      <c r="A15" s="58" t="s">
        <v>50</v>
      </c>
      <c r="B15" s="66" t="s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01_Current_Costs</vt:lpstr>
      <vt:lpstr>02_Optimization_Model</vt:lpstr>
      <vt:lpstr>03_Assumptions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Cuellar</cp:lastModifiedBy>
  <dcterms:created xsi:type="dcterms:W3CDTF">2026-04-24T02:02:57Z</dcterms:created>
  <dcterms:modified xsi:type="dcterms:W3CDTF">2026-04-25T00:19:11Z</dcterms:modified>
</cp:coreProperties>
</file>